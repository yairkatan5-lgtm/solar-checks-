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eenenergy365-my.sharepoint.com/personal/alexandra_green-energy_co_il/Documents/Desktop/"/>
    </mc:Choice>
  </mc:AlternateContent>
  <xr:revisionPtr revIDLastSave="0" documentId="8_{16840411-5E64-4223-9D95-D1E2C0A9C1CA}" xr6:coauthVersionLast="47" xr6:coauthVersionMax="47" xr10:uidLastSave="{00000000-0000-0000-0000-000000000000}"/>
  <bookViews>
    <workbookView xWindow="28680" yWindow="-1980" windowWidth="29040" windowHeight="15720" xr2:uid="{AA0D39E2-9996-4134-9D18-1EA3BE1A3186}"/>
  </bookViews>
  <sheets>
    <sheet name="סיכום סולאר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J48" i="1"/>
  <c r="J49" i="1"/>
  <c r="J53" i="1"/>
  <c r="J54" i="1"/>
  <c r="J55" i="1"/>
  <c r="J56" i="1"/>
  <c r="K56" i="1"/>
  <c r="I56" i="1"/>
  <c r="G56" i="1"/>
  <c r="H56" i="1" s="1"/>
  <c r="F56" i="1"/>
  <c r="D56" i="1"/>
  <c r="K55" i="1"/>
  <c r="I55" i="1"/>
  <c r="G55" i="1"/>
  <c r="H55" i="1" s="1"/>
  <c r="F55" i="1"/>
  <c r="D55" i="1"/>
  <c r="K54" i="1"/>
  <c r="I54" i="1"/>
  <c r="G54" i="1"/>
  <c r="H54" i="1" s="1"/>
  <c r="F54" i="1"/>
  <c r="D54" i="1"/>
  <c r="K53" i="1"/>
  <c r="K52" i="1" s="1"/>
  <c r="I53" i="1"/>
  <c r="G53" i="1"/>
  <c r="H53" i="1" s="1"/>
  <c r="H52" i="1" s="1"/>
  <c r="F53" i="1"/>
  <c r="D53" i="1"/>
  <c r="D52" i="1" s="1"/>
  <c r="J52" i="1"/>
  <c r="I52" i="1"/>
  <c r="G52" i="1"/>
  <c r="F52" i="1"/>
  <c r="E52" i="1"/>
  <c r="C52" i="1"/>
  <c r="K50" i="1"/>
  <c r="J50" i="1"/>
  <c r="I50" i="1"/>
  <c r="G50" i="1"/>
  <c r="H50" i="1" s="1"/>
  <c r="F50" i="1"/>
  <c r="D50" i="1"/>
  <c r="K49" i="1"/>
  <c r="J46" i="1"/>
  <c r="I49" i="1"/>
  <c r="G49" i="1"/>
  <c r="H49" i="1" s="1"/>
  <c r="F49" i="1"/>
  <c r="D49" i="1"/>
  <c r="K48" i="1"/>
  <c r="I48" i="1"/>
  <c r="G48" i="1"/>
  <c r="H48" i="1" s="1"/>
  <c r="F48" i="1"/>
  <c r="D48" i="1"/>
  <c r="K47" i="1"/>
  <c r="I47" i="1"/>
  <c r="G47" i="1"/>
  <c r="H47" i="1" s="1"/>
  <c r="H46" i="1" s="1"/>
  <c r="F47" i="1"/>
  <c r="D47" i="1"/>
  <c r="K46" i="1"/>
  <c r="I46" i="1"/>
  <c r="G46" i="1"/>
  <c r="F46" i="1"/>
  <c r="E46" i="1"/>
  <c r="D46" i="1"/>
  <c r="C46" i="1"/>
  <c r="K44" i="1"/>
  <c r="J44" i="1"/>
  <c r="I44" i="1"/>
  <c r="G44" i="1"/>
  <c r="H44" i="1" s="1"/>
  <c r="F44" i="1"/>
  <c r="D44" i="1"/>
  <c r="K43" i="1"/>
  <c r="J43" i="1"/>
  <c r="I43" i="1"/>
  <c r="G43" i="1"/>
  <c r="H43" i="1" s="1"/>
  <c r="F43" i="1"/>
  <c r="D43" i="1"/>
  <c r="K42" i="1"/>
  <c r="I42" i="1"/>
  <c r="G42" i="1"/>
  <c r="H42" i="1" s="1"/>
  <c r="F42" i="1"/>
  <c r="D42" i="1"/>
  <c r="K41" i="1"/>
  <c r="I41" i="1"/>
  <c r="G41" i="1"/>
  <c r="H41" i="1" s="1"/>
  <c r="H40" i="1" s="1"/>
  <c r="F41" i="1"/>
  <c r="D41" i="1"/>
  <c r="K40" i="1"/>
  <c r="J40" i="1"/>
  <c r="I40" i="1"/>
  <c r="G40" i="1"/>
  <c r="F40" i="1"/>
  <c r="E40" i="1"/>
  <c r="D40" i="1"/>
  <c r="L40" i="1" s="1"/>
  <c r="C40" i="1"/>
  <c r="K38" i="1"/>
  <c r="J38" i="1"/>
  <c r="I38" i="1"/>
  <c r="G38" i="1"/>
  <c r="H38" i="1" s="1"/>
  <c r="F38" i="1"/>
  <c r="D38" i="1"/>
  <c r="K37" i="1"/>
  <c r="J37" i="1"/>
  <c r="I37" i="1"/>
  <c r="G37" i="1"/>
  <c r="H37" i="1" s="1"/>
  <c r="F37" i="1"/>
  <c r="D37" i="1"/>
  <c r="K36" i="1"/>
  <c r="I36" i="1"/>
  <c r="G36" i="1"/>
  <c r="H36" i="1" s="1"/>
  <c r="F36" i="1"/>
  <c r="D36" i="1"/>
  <c r="K35" i="1"/>
  <c r="I35" i="1"/>
  <c r="G35" i="1"/>
  <c r="H35" i="1" s="1"/>
  <c r="H34" i="1" s="1"/>
  <c r="F35" i="1"/>
  <c r="D35" i="1"/>
  <c r="K34" i="1"/>
  <c r="J34" i="1"/>
  <c r="I34" i="1"/>
  <c r="G34" i="1"/>
  <c r="F34" i="1"/>
  <c r="E34" i="1"/>
  <c r="D34" i="1"/>
  <c r="L34" i="1" s="1"/>
  <c r="C34" i="1"/>
  <c r="K32" i="1"/>
  <c r="J32" i="1"/>
  <c r="G32" i="1"/>
  <c r="H32" i="1" s="1"/>
  <c r="F32" i="1"/>
  <c r="D32" i="1"/>
  <c r="K31" i="1"/>
  <c r="J31" i="1"/>
  <c r="G31" i="1"/>
  <c r="H31" i="1" s="1"/>
  <c r="F31" i="1"/>
  <c r="D31" i="1"/>
  <c r="K30" i="1"/>
  <c r="K28" i="1" s="1"/>
  <c r="L28" i="1" s="1"/>
  <c r="G30" i="1"/>
  <c r="H30" i="1" s="1"/>
  <c r="F30" i="1"/>
  <c r="D30" i="1"/>
  <c r="K29" i="1"/>
  <c r="G29" i="1"/>
  <c r="H29" i="1" s="1"/>
  <c r="H28" i="1" s="1"/>
  <c r="F29" i="1"/>
  <c r="D29" i="1"/>
  <c r="J28" i="1"/>
  <c r="G28" i="1"/>
  <c r="F28" i="1"/>
  <c r="E28" i="1"/>
  <c r="D28" i="1"/>
  <c r="C28" i="1"/>
  <c r="E26" i="1"/>
  <c r="C26" i="1"/>
  <c r="C24" i="1" s="1"/>
  <c r="J25" i="1"/>
  <c r="F25" i="1"/>
  <c r="C25" i="1"/>
  <c r="I24" i="1"/>
  <c r="E24" i="1"/>
  <c r="K22" i="1"/>
  <c r="J22" i="1"/>
  <c r="G22" i="1"/>
  <c r="H22" i="1" s="1"/>
  <c r="F22" i="1"/>
  <c r="D22" i="1"/>
  <c r="K21" i="1"/>
  <c r="J21" i="1"/>
  <c r="G21" i="1"/>
  <c r="F21" i="1"/>
  <c r="D21" i="1"/>
  <c r="G20" i="1"/>
  <c r="H20" i="1" s="1"/>
  <c r="F20" i="1"/>
  <c r="D20" i="1"/>
  <c r="G19" i="1"/>
  <c r="H19" i="1" s="1"/>
  <c r="F19" i="1"/>
  <c r="D19" i="1"/>
  <c r="K18" i="1"/>
  <c r="J18" i="1"/>
  <c r="E18" i="1"/>
  <c r="D18" i="1"/>
  <c r="C18" i="1"/>
  <c r="K16" i="1"/>
  <c r="J16" i="1"/>
  <c r="G16" i="1"/>
  <c r="H16" i="1" s="1"/>
  <c r="F16" i="1"/>
  <c r="D16" i="1"/>
  <c r="K15" i="1"/>
  <c r="J15" i="1"/>
  <c r="G15" i="1"/>
  <c r="H15" i="1" s="1"/>
  <c r="F15" i="1"/>
  <c r="D15" i="1"/>
  <c r="G14" i="1"/>
  <c r="H14" i="1" s="1"/>
  <c r="F14" i="1"/>
  <c r="D14" i="1"/>
  <c r="G13" i="1"/>
  <c r="H13" i="1" s="1"/>
  <c r="H12" i="1" s="1"/>
  <c r="F13" i="1"/>
  <c r="D13" i="1"/>
  <c r="K12" i="1"/>
  <c r="J12" i="1"/>
  <c r="G12" i="1"/>
  <c r="F12" i="1"/>
  <c r="E12" i="1"/>
  <c r="D12" i="1"/>
  <c r="C12" i="1"/>
  <c r="K10" i="1"/>
  <c r="J10" i="1"/>
  <c r="G10" i="1"/>
  <c r="H10" i="1" s="1"/>
  <c r="F10" i="1"/>
  <c r="D10" i="1"/>
  <c r="K9" i="1"/>
  <c r="J9" i="1"/>
  <c r="G9" i="1"/>
  <c r="H9" i="1" s="1"/>
  <c r="F9" i="1"/>
  <c r="D9" i="1"/>
  <c r="G8" i="1"/>
  <c r="H8" i="1" s="1"/>
  <c r="F8" i="1"/>
  <c r="D8" i="1"/>
  <c r="G7" i="1"/>
  <c r="H7" i="1" s="1"/>
  <c r="F7" i="1"/>
  <c r="F6" i="1" s="1"/>
  <c r="D7" i="1"/>
  <c r="K6" i="1"/>
  <c r="J6" i="1"/>
  <c r="I6" i="1"/>
  <c r="G6" i="1"/>
  <c r="E6" i="1"/>
  <c r="D6" i="1"/>
  <c r="C6" i="1"/>
  <c r="L52" i="1" l="1"/>
  <c r="L6" i="1"/>
  <c r="F18" i="1"/>
  <c r="L18" i="1" s="1"/>
  <c r="L12" i="1"/>
  <c r="J26" i="1"/>
  <c r="J24" i="1" s="1"/>
  <c r="F26" i="1"/>
  <c r="F24" i="1" s="1"/>
  <c r="G26" i="1"/>
  <c r="H26" i="1" s="1"/>
  <c r="D26" i="1"/>
  <c r="K26" i="1"/>
  <c r="D25" i="1"/>
  <c r="D24" i="1" s="1"/>
  <c r="K25" i="1"/>
  <c r="K24" i="1" s="1"/>
  <c r="G25" i="1"/>
  <c r="G18" i="1"/>
  <c r="H21" i="1"/>
  <c r="H18" i="1" s="1"/>
  <c r="H6" i="1"/>
  <c r="L46" i="1"/>
  <c r="H25" i="1" l="1"/>
  <c r="H24" i="1" s="1"/>
  <c r="G24" i="1"/>
  <c r="L24" i="1"/>
</calcChain>
</file>

<file path=xl/sharedStrings.xml><?xml version="1.0" encoding="utf-8"?>
<sst xmlns="http://schemas.openxmlformats.org/spreadsheetml/2006/main" count="88" uniqueCount="32">
  <si>
    <t>תוויות שורה</t>
  </si>
  <si>
    <t>סכום של קוט"ש מיוצר לפ חח"י (קוט"ש)</t>
  </si>
  <si>
    <t>סכום של ערך ייצור (₪)</t>
  </si>
  <si>
    <t>סכום של קוט"ש הזרמה  (קוט"ש)</t>
  </si>
  <si>
    <t>סכום של ערך הזרמה (₪)</t>
  </si>
  <si>
    <t>סכום של קוט"ש צריכה עצמית (קוט"ש)</t>
  </si>
  <si>
    <t>סכום של ערך צריכה עצמית (₪)</t>
  </si>
  <si>
    <t>דמי הגנה (₪)</t>
  </si>
  <si>
    <t>דמי הולכה (₪)</t>
  </si>
  <si>
    <t>דמי איזון (₪)</t>
  </si>
  <si>
    <t xml:space="preserve">רווח סולארי נקי </t>
  </si>
  <si>
    <t>ניכויים שונים</t>
  </si>
  <si>
    <t>תעריפים</t>
  </si>
  <si>
    <t>19/12/2024-20/01/2025</t>
  </si>
  <si>
    <t xml:space="preserve">פסגה </t>
  </si>
  <si>
    <t>שפל</t>
  </si>
  <si>
    <t>21/01/2025-19/02/2025</t>
  </si>
  <si>
    <t>20/02/2025-19/03/2025</t>
  </si>
  <si>
    <t>20/03/2025-21/05/2025</t>
  </si>
  <si>
    <t>פסגה</t>
  </si>
  <si>
    <t>22/05/2025-22/06/2025</t>
  </si>
  <si>
    <t xml:space="preserve"> </t>
  </si>
  <si>
    <t>דמי הגנה 41.2</t>
  </si>
  <si>
    <t>פסגה - מעבר</t>
  </si>
  <si>
    <t>פסגה - קיץ</t>
  </si>
  <si>
    <t>שפל - מעבר</t>
  </si>
  <si>
    <t>שפל - קיץ</t>
  </si>
  <si>
    <t>23/06/2025-20/07/2025</t>
  </si>
  <si>
    <t>21/07/2025-20/08/2025</t>
  </si>
  <si>
    <t>21/08/2025-18/09/2025</t>
  </si>
  <si>
    <t>19/09/2025-23/10/2025</t>
  </si>
  <si>
    <t>24/10/2025-19/11/2025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</si>
</sst>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7" x14ac:knownFonts="1">
    <font>
      <sz val="11"/>
      <color theme="1"/>
      <name val="Arial"/>
      <family val="2"/>
    </font>
    <font>
      <b/>
      <sz val="11"/>
      <color theme="1"/>
      <name val="Calibri"/>
      <family val="2"/>
      <charset val="177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" fontId="4" fillId="0" borderId="1" xfId="0" applyNumberFormat="1" applyFont="1" applyBorder="1" applyAlignment="1">
      <alignment horizontal="right" indent="2"/>
    </xf>
    <xf numFmtId="1" fontId="4" fillId="4" borderId="1" xfId="0" applyNumberFormat="1" applyFont="1" applyFill="1" applyBorder="1"/>
    <xf numFmtId="164" fontId="4" fillId="0" borderId="1" xfId="1" applyFont="1" applyBorder="1"/>
    <xf numFmtId="2" fontId="4" fillId="0" borderId="1" xfId="0" applyNumberFormat="1" applyFont="1" applyBorder="1"/>
    <xf numFmtId="1" fontId="4" fillId="0" borderId="1" xfId="0" applyNumberFormat="1" applyFont="1" applyBorder="1"/>
    <xf numFmtId="165" fontId="4" fillId="0" borderId="1" xfId="0" applyNumberFormat="1" applyFont="1" applyBorder="1"/>
    <xf numFmtId="0" fontId="5" fillId="2" borderId="1" xfId="0" applyFont="1" applyFill="1" applyBorder="1"/>
    <xf numFmtId="165" fontId="4" fillId="4" borderId="1" xfId="0" applyNumberFormat="1" applyFont="1" applyFill="1" applyBorder="1"/>
    <xf numFmtId="0" fontId="2" fillId="2" borderId="0" xfId="0" applyFont="1" applyFill="1"/>
    <xf numFmtId="0" fontId="0" fillId="4" borderId="0" xfId="0" applyFill="1" applyAlignment="1">
      <alignment horizontal="right" indent="2"/>
    </xf>
    <xf numFmtId="2" fontId="0" fillId="4" borderId="0" xfId="0" applyNumberFormat="1" applyFill="1"/>
    <xf numFmtId="0" fontId="2" fillId="0" borderId="1" xfId="0" applyFont="1" applyBorder="1" applyAlignment="1">
      <alignment horizontal="right" vertical="center"/>
    </xf>
    <xf numFmtId="1" fontId="0" fillId="4" borderId="1" xfId="0" applyNumberFormat="1" applyFill="1" applyBorder="1"/>
    <xf numFmtId="164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0" fontId="2" fillId="4" borderId="0" xfId="0" applyFont="1" applyFill="1" applyAlignment="1">
      <alignment horizontal="right" vertical="center"/>
    </xf>
    <xf numFmtId="0" fontId="0" fillId="4" borderId="0" xfId="0" applyFill="1"/>
    <xf numFmtId="1" fontId="0" fillId="2" borderId="0" xfId="0" applyNumberFormat="1" applyFill="1"/>
    <xf numFmtId="2" fontId="0" fillId="2" borderId="0" xfId="0" applyNumberFormat="1" applyFill="1"/>
    <xf numFmtId="0" fontId="2" fillId="0" borderId="1" xfId="0" applyFont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164" fontId="4" fillId="4" borderId="1" xfId="1" applyFont="1" applyFill="1" applyBorder="1"/>
    <xf numFmtId="0" fontId="6" fillId="2" borderId="0" xfId="0" applyFont="1" applyFill="1"/>
    <xf numFmtId="0" fontId="2" fillId="0" borderId="1" xfId="0" applyFont="1" applyBorder="1" applyAlignment="1">
      <alignment vertical="center"/>
    </xf>
    <xf numFmtId="0" fontId="5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0" fillId="2" borderId="1" xfId="0" quotePrefix="1" applyFill="1" applyBorder="1"/>
    <xf numFmtId="0" fontId="0" fillId="0" borderId="1" xfId="0" quotePrefix="1" applyBorder="1"/>
    <xf numFmtId="14" fontId="3" fillId="2" borderId="0" xfId="0" applyNumberFormat="1" applyFont="1" applyFill="1" applyAlignment="1">
      <alignment horizontal="center" vertical="center" wrapText="1"/>
    </xf>
    <xf numFmtId="1" fontId="0" fillId="4" borderId="2" xfId="0" applyNumberFormat="1" applyFill="1" applyBorder="1"/>
    <xf numFmtId="1" fontId="4" fillId="5" borderId="1" xfId="0" applyNumberFormat="1" applyFont="1" applyFill="1" applyBorder="1"/>
    <xf numFmtId="164" fontId="4" fillId="5" borderId="1" xfId="1" applyFont="1" applyFill="1" applyBorder="1"/>
    <xf numFmtId="2" fontId="4" fillId="5" borderId="1" xfId="0" applyNumberFormat="1" applyFont="1" applyFill="1" applyBorder="1"/>
    <xf numFmtId="165" fontId="4" fillId="5" borderId="1" xfId="0" applyNumberFormat="1" applyFont="1" applyFill="1" applyBorder="1"/>
    <xf numFmtId="0" fontId="0" fillId="5" borderId="0" xfId="0" applyFill="1"/>
    <xf numFmtId="0" fontId="6" fillId="5" borderId="0" xfId="0" applyFont="1" applyFill="1"/>
    <xf numFmtId="0" fontId="0" fillId="5" borderId="0" xfId="0" applyFill="1" applyAlignment="1">
      <alignment horizontal="right" indent="2"/>
    </xf>
    <xf numFmtId="2" fontId="0" fillId="5" borderId="0" xfId="0" applyNumberFormat="1" applyFill="1"/>
    <xf numFmtId="1" fontId="0" fillId="5" borderId="1" xfId="0" applyNumberFormat="1" applyFill="1" applyBorder="1"/>
    <xf numFmtId="164" fontId="0" fillId="5" borderId="1" xfId="0" applyNumberFormat="1" applyFill="1" applyBorder="1"/>
    <xf numFmtId="2" fontId="0" fillId="5" borderId="1" xfId="0" applyNumberFormat="1" applyFill="1" applyBorder="1"/>
    <xf numFmtId="0" fontId="0" fillId="5" borderId="1" xfId="0" quotePrefix="1" applyFill="1" applyBorder="1"/>
    <xf numFmtId="0" fontId="0" fillId="5" borderId="1" xfId="0" applyFill="1" applyBorder="1"/>
    <xf numFmtId="0" fontId="5" fillId="5" borderId="0" xfId="0" applyFont="1" applyFill="1"/>
    <xf numFmtId="0" fontId="2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center" vertical="center" wrapText="1"/>
    </xf>
    <xf numFmtId="16" fontId="4" fillId="5" borderId="1" xfId="0" applyNumberFormat="1" applyFont="1" applyFill="1" applyBorder="1" applyAlignment="1">
      <alignment horizontal="right" indent="2"/>
    </xf>
    <xf numFmtId="0" fontId="2" fillId="5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2DE6-83D3-416A-9AFB-92782CAE0887}">
  <dimension ref="A3:P74"/>
  <sheetViews>
    <sheetView rightToLeft="1" tabSelected="1" workbookViewId="0">
      <pane ySplit="3" topLeftCell="A33" activePane="bottomLeft" state="frozen"/>
      <selection pane="bottomLeft" activeCell="G70" sqref="G70"/>
    </sheetView>
  </sheetViews>
  <sheetFormatPr defaultColWidth="9" defaultRowHeight="13.8" x14ac:dyDescent="0.25"/>
  <cols>
    <col min="1" max="1" width="11.5" style="1" customWidth="1"/>
    <col min="2" max="2" width="15" style="1" customWidth="1"/>
    <col min="3" max="3" width="12.69921875" style="1" customWidth="1"/>
    <col min="4" max="4" width="10.69921875" style="1" customWidth="1"/>
    <col min="5" max="16" width="12.69921875" style="1" customWidth="1"/>
    <col min="17" max="16384" width="9" style="1"/>
  </cols>
  <sheetData>
    <row r="3" spans="1:16" ht="43.8" customHeight="1" x14ac:dyDescent="0.25">
      <c r="B3" s="2" t="s">
        <v>0</v>
      </c>
      <c r="C3" s="3" t="s">
        <v>1</v>
      </c>
      <c r="D3" s="3" t="s">
        <v>2</v>
      </c>
      <c r="E3" s="3" t="s">
        <v>3</v>
      </c>
      <c r="F3" s="4" t="s">
        <v>4</v>
      </c>
      <c r="G3" s="3" t="s">
        <v>5</v>
      </c>
      <c r="H3" s="3" t="s">
        <v>6</v>
      </c>
      <c r="I3" s="4" t="s">
        <v>7</v>
      </c>
      <c r="J3" s="4" t="s">
        <v>8</v>
      </c>
      <c r="K3" s="5" t="s">
        <v>9</v>
      </c>
      <c r="L3" s="5" t="s">
        <v>10</v>
      </c>
      <c r="M3" s="6" t="s">
        <v>11</v>
      </c>
      <c r="N3" s="7"/>
      <c r="O3" s="8" t="s">
        <v>12</v>
      </c>
      <c r="P3" s="8"/>
    </row>
    <row r="6" spans="1:16" ht="14.4" x14ac:dyDescent="0.3">
      <c r="A6" s="9" t="s">
        <v>13</v>
      </c>
      <c r="B6" s="10">
        <v>45678</v>
      </c>
      <c r="C6" s="11">
        <f t="shared" ref="C6:K6" si="0">SUM(C7:C10)</f>
        <v>61840</v>
      </c>
      <c r="D6" s="12">
        <f t="shared" si="0"/>
        <v>17695.728000000003</v>
      </c>
      <c r="E6" s="11">
        <f t="shared" si="0"/>
        <v>14373</v>
      </c>
      <c r="F6" s="13">
        <f>SUM(F7:F10)</f>
        <v>4053.4766</v>
      </c>
      <c r="G6" s="14">
        <f t="shared" si="0"/>
        <v>47467</v>
      </c>
      <c r="H6" s="15">
        <f t="shared" si="0"/>
        <v>13642.251400000001</v>
      </c>
      <c r="I6" s="16">
        <f>3428.46+4353.89</f>
        <v>7782.35</v>
      </c>
      <c r="J6" s="15">
        <f t="shared" si="0"/>
        <v>190.10150000000002</v>
      </c>
      <c r="K6" s="15">
        <f t="shared" si="0"/>
        <v>1073.4559999999999</v>
      </c>
      <c r="L6" s="17">
        <f>F6+I6-J6-K6</f>
        <v>10572.2691</v>
      </c>
      <c r="N6" s="18"/>
      <c r="O6" s="19"/>
      <c r="P6" s="20"/>
    </row>
    <row r="7" spans="1:16" x14ac:dyDescent="0.25">
      <c r="A7" s="9"/>
      <c r="B7" s="21" t="s">
        <v>14</v>
      </c>
      <c r="C7" s="22"/>
      <c r="D7" s="23">
        <f>(C7*P7)/100</f>
        <v>0</v>
      </c>
      <c r="E7" s="22"/>
      <c r="F7" s="24">
        <f t="shared" ref="F7:F9" si="1">(E7*P7)/100</f>
        <v>0</v>
      </c>
      <c r="G7" s="25">
        <f t="shared" ref="G7:G9" si="2">C7-E7</f>
        <v>0</v>
      </c>
      <c r="H7" s="25">
        <f t="shared" ref="H7:H9" si="3">(G7*P7)/100</f>
        <v>0</v>
      </c>
      <c r="I7" s="25"/>
      <c r="J7" s="25"/>
      <c r="K7" s="25"/>
      <c r="L7" s="26"/>
      <c r="N7" s="18"/>
      <c r="O7" s="27" t="s">
        <v>14</v>
      </c>
      <c r="P7" s="28">
        <v>86.13</v>
      </c>
    </row>
    <row r="8" spans="1:16" x14ac:dyDescent="0.25">
      <c r="A8" s="9"/>
      <c r="B8" s="21"/>
      <c r="C8" s="22"/>
      <c r="D8" s="23">
        <f t="shared" ref="D8:D10" si="4">(C8*P8)/100</f>
        <v>0</v>
      </c>
      <c r="E8" s="22"/>
      <c r="F8" s="24">
        <f t="shared" si="1"/>
        <v>0</v>
      </c>
      <c r="G8" s="25">
        <f t="shared" si="2"/>
        <v>0</v>
      </c>
      <c r="H8" s="25">
        <f t="shared" si="3"/>
        <v>0</v>
      </c>
      <c r="I8" s="25"/>
      <c r="J8" s="25"/>
      <c r="K8" s="25"/>
      <c r="L8" s="26"/>
      <c r="N8" s="18"/>
      <c r="O8" s="27"/>
      <c r="P8" s="28">
        <v>88.07</v>
      </c>
    </row>
    <row r="9" spans="1:16" x14ac:dyDescent="0.25">
      <c r="A9" s="9"/>
      <c r="B9" s="21" t="s">
        <v>15</v>
      </c>
      <c r="C9" s="22">
        <v>24880</v>
      </c>
      <c r="D9" s="23">
        <f t="shared" si="4"/>
        <v>6822.0960000000014</v>
      </c>
      <c r="E9" s="22">
        <v>8753</v>
      </c>
      <c r="F9" s="24">
        <f t="shared" si="1"/>
        <v>2400.0726</v>
      </c>
      <c r="G9" s="25">
        <f t="shared" si="2"/>
        <v>16127</v>
      </c>
      <c r="H9" s="25">
        <f t="shared" si="3"/>
        <v>4422.0234</v>
      </c>
      <c r="I9" s="25"/>
      <c r="J9" s="25">
        <f>E9*1.35/100</f>
        <v>118.16550000000001</v>
      </c>
      <c r="K9" s="25">
        <f>C9*1.7/100</f>
        <v>422.96</v>
      </c>
      <c r="L9" s="26"/>
      <c r="N9" s="18"/>
      <c r="O9" s="27" t="s">
        <v>15</v>
      </c>
      <c r="P9" s="28">
        <v>27.42</v>
      </c>
    </row>
    <row r="10" spans="1:16" x14ac:dyDescent="0.25">
      <c r="A10" s="9"/>
      <c r="B10" s="21"/>
      <c r="C10" s="22">
        <v>36960</v>
      </c>
      <c r="D10" s="23">
        <f t="shared" si="4"/>
        <v>10873.632</v>
      </c>
      <c r="E10" s="22">
        <v>5620</v>
      </c>
      <c r="F10" s="24">
        <f>(E10*P10)/100</f>
        <v>1653.4040000000002</v>
      </c>
      <c r="G10" s="25">
        <f>C10-E10</f>
        <v>31340</v>
      </c>
      <c r="H10" s="25">
        <f>(G10*P10)/100</f>
        <v>9220.228000000001</v>
      </c>
      <c r="I10" s="25"/>
      <c r="J10" s="25">
        <f>E10*1.28/100</f>
        <v>71.936000000000007</v>
      </c>
      <c r="K10" s="25">
        <f>C10*1.76/100</f>
        <v>650.49599999999998</v>
      </c>
      <c r="L10" s="26"/>
      <c r="O10" s="27"/>
      <c r="P10" s="28">
        <v>29.42</v>
      </c>
    </row>
    <row r="11" spans="1:16" x14ac:dyDescent="0.25">
      <c r="E11" s="29"/>
      <c r="F11" s="30"/>
    </row>
    <row r="12" spans="1:16" ht="14.4" x14ac:dyDescent="0.3">
      <c r="A12" s="9" t="s">
        <v>16</v>
      </c>
      <c r="B12" s="10">
        <v>45708</v>
      </c>
      <c r="C12" s="11">
        <f t="shared" ref="C12:E12" si="5">SUM(C13:C16)</f>
        <v>55750</v>
      </c>
      <c r="D12" s="12">
        <f t="shared" si="5"/>
        <v>16419.245000000003</v>
      </c>
      <c r="E12" s="11">
        <f t="shared" si="5"/>
        <v>11708</v>
      </c>
      <c r="F12" s="13">
        <f>SUM(F13:F16)</f>
        <v>3444.4936000000002</v>
      </c>
      <c r="G12" s="14">
        <f t="shared" ref="G12:H12" si="6">SUM(G13:G16)</f>
        <v>44042</v>
      </c>
      <c r="H12" s="15">
        <f t="shared" si="6"/>
        <v>12974.751400000001</v>
      </c>
      <c r="I12" s="16">
        <v>6563.82</v>
      </c>
      <c r="J12" s="15">
        <f t="shared" ref="J12:K12" si="7">SUM(J13:J16)</f>
        <v>158.05800000000002</v>
      </c>
      <c r="K12" s="15">
        <f t="shared" si="7"/>
        <v>980.67200000000003</v>
      </c>
      <c r="L12" s="17">
        <f>F12+I12-J12-K12</f>
        <v>8869.5835999999981</v>
      </c>
      <c r="N12" s="18"/>
      <c r="O12" s="19"/>
      <c r="P12" s="20"/>
    </row>
    <row r="13" spans="1:16" x14ac:dyDescent="0.25">
      <c r="A13" s="9"/>
      <c r="B13" s="21" t="s">
        <v>14</v>
      </c>
      <c r="C13" s="22">
        <v>10</v>
      </c>
      <c r="D13" s="23">
        <f>(C13*P13)/100</f>
        <v>8.8069999999999986</v>
      </c>
      <c r="E13" s="22"/>
      <c r="F13" s="24">
        <f t="shared" ref="F13:F15" si="8">(E13*P13)/100</f>
        <v>0</v>
      </c>
      <c r="G13" s="25">
        <f t="shared" ref="G13:G15" si="9">C13-E13</f>
        <v>10</v>
      </c>
      <c r="H13" s="25">
        <f t="shared" ref="H13:H15" si="10">(G13*P13)/100</f>
        <v>8.8069999999999986</v>
      </c>
      <c r="I13" s="25"/>
      <c r="J13" s="25"/>
      <c r="K13" s="25"/>
      <c r="L13" s="26"/>
      <c r="N13" s="18"/>
      <c r="O13" s="27" t="s">
        <v>14</v>
      </c>
      <c r="P13" s="28">
        <v>88.07</v>
      </c>
    </row>
    <row r="14" spans="1:16" x14ac:dyDescent="0.25">
      <c r="A14" s="9"/>
      <c r="B14" s="21"/>
      <c r="C14" s="22">
        <v>20</v>
      </c>
      <c r="D14" s="23">
        <f t="shared" ref="D14:D16" si="11">(C14*P14)/100</f>
        <v>17.613999999999997</v>
      </c>
      <c r="E14" s="22"/>
      <c r="F14" s="24">
        <f t="shared" si="8"/>
        <v>0</v>
      </c>
      <c r="G14" s="25">
        <f t="shared" si="9"/>
        <v>20</v>
      </c>
      <c r="H14" s="25">
        <f t="shared" si="10"/>
        <v>17.613999999999997</v>
      </c>
      <c r="I14" s="25"/>
      <c r="J14" s="25"/>
      <c r="K14" s="25"/>
      <c r="L14" s="26"/>
      <c r="N14" s="18"/>
      <c r="O14" s="27"/>
      <c r="P14" s="28">
        <v>88.07</v>
      </c>
    </row>
    <row r="15" spans="1:16" x14ac:dyDescent="0.25">
      <c r="A15" s="9"/>
      <c r="B15" s="21" t="s">
        <v>15</v>
      </c>
      <c r="C15" s="22">
        <v>20720</v>
      </c>
      <c r="D15" s="23">
        <f t="shared" si="11"/>
        <v>6095.8240000000005</v>
      </c>
      <c r="E15" s="22">
        <v>11708</v>
      </c>
      <c r="F15" s="24">
        <f t="shared" si="8"/>
        <v>3444.4936000000002</v>
      </c>
      <c r="G15" s="25">
        <f t="shared" si="9"/>
        <v>9012</v>
      </c>
      <c r="H15" s="25">
        <f t="shared" si="10"/>
        <v>2651.3304000000003</v>
      </c>
      <c r="I15" s="25"/>
      <c r="J15" s="25">
        <f>E15*1.35/100</f>
        <v>158.05800000000002</v>
      </c>
      <c r="K15" s="25">
        <f>C15*1.76/100</f>
        <v>364.67199999999997</v>
      </c>
      <c r="L15" s="26"/>
      <c r="N15" s="18"/>
      <c r="O15" s="27" t="s">
        <v>15</v>
      </c>
      <c r="P15" s="28">
        <v>29.42</v>
      </c>
    </row>
    <row r="16" spans="1:16" x14ac:dyDescent="0.25">
      <c r="A16" s="9"/>
      <c r="B16" s="21"/>
      <c r="C16" s="22">
        <v>35000</v>
      </c>
      <c r="D16" s="23">
        <f t="shared" si="11"/>
        <v>10297.000000000002</v>
      </c>
      <c r="E16" s="22"/>
      <c r="F16" s="24">
        <f>(E16*P16)/100</f>
        <v>0</v>
      </c>
      <c r="G16" s="25">
        <f>C16-E16</f>
        <v>35000</v>
      </c>
      <c r="H16" s="25">
        <f>(G16*P16)/100</f>
        <v>10297.000000000002</v>
      </c>
      <c r="I16" s="25"/>
      <c r="J16" s="25">
        <f>E16*1.28/100</f>
        <v>0</v>
      </c>
      <c r="K16" s="25">
        <f>C16*1.76/100</f>
        <v>616</v>
      </c>
      <c r="L16" s="26"/>
      <c r="O16" s="27"/>
      <c r="P16" s="28">
        <v>29.42</v>
      </c>
    </row>
    <row r="17" spans="1:16" x14ac:dyDescent="0.25">
      <c r="E17" s="29"/>
      <c r="F17" s="30"/>
    </row>
    <row r="18" spans="1:16" ht="14.4" x14ac:dyDescent="0.3">
      <c r="A18" s="9" t="s">
        <v>17</v>
      </c>
      <c r="B18" s="10">
        <v>45756</v>
      </c>
      <c r="C18" s="11">
        <f t="shared" ref="C18:E18" si="12">SUM(C19:C22)</f>
        <v>64620</v>
      </c>
      <c r="D18" s="12">
        <f t="shared" si="12"/>
        <v>18720.886000000002</v>
      </c>
      <c r="E18" s="11">
        <f t="shared" si="12"/>
        <v>16859</v>
      </c>
      <c r="F18" s="13">
        <f>SUM(F19:F22)</f>
        <v>4871.6577000000007</v>
      </c>
      <c r="G18" s="14">
        <f t="shared" ref="G18:H18" si="13">SUM(G19:G22)</f>
        <v>47761</v>
      </c>
      <c r="H18" s="15">
        <f t="shared" si="13"/>
        <v>13849.228299999999</v>
      </c>
      <c r="I18" s="16">
        <v>7921.31</v>
      </c>
      <c r="J18" s="15">
        <f t="shared" ref="J18:K18" si="14">SUM(J19:J22)</f>
        <v>218.8948</v>
      </c>
      <c r="K18" s="15">
        <f t="shared" si="14"/>
        <v>1134.672</v>
      </c>
      <c r="L18" s="17">
        <f>F18+I18-J18-K18</f>
        <v>11439.400900000001</v>
      </c>
      <c r="N18" s="18"/>
      <c r="O18" s="19"/>
      <c r="P18" s="20"/>
    </row>
    <row r="19" spans="1:16" x14ac:dyDescent="0.25">
      <c r="A19" s="9"/>
      <c r="B19" s="21" t="s">
        <v>14</v>
      </c>
      <c r="C19" s="22">
        <v>40</v>
      </c>
      <c r="D19" s="23">
        <f>(C19*P19)/100</f>
        <v>35.227999999999994</v>
      </c>
      <c r="E19" s="22"/>
      <c r="F19" s="24">
        <f t="shared" ref="F19:F21" si="15">(E19*P19)/100</f>
        <v>0</v>
      </c>
      <c r="G19" s="25">
        <f t="shared" ref="G19:G21" si="16">C19-E19</f>
        <v>40</v>
      </c>
      <c r="H19" s="25">
        <f t="shared" ref="H19:H21" si="17">(G19*P19)/100</f>
        <v>35.227999999999994</v>
      </c>
      <c r="I19" s="25"/>
      <c r="J19" s="25"/>
      <c r="K19" s="25"/>
      <c r="L19" s="26"/>
      <c r="N19" s="18"/>
      <c r="O19" s="27" t="s">
        <v>14</v>
      </c>
      <c r="P19" s="28">
        <v>88.07</v>
      </c>
    </row>
    <row r="20" spans="1:16" x14ac:dyDescent="0.25">
      <c r="A20" s="9"/>
      <c r="B20" s="21"/>
      <c r="C20" s="22">
        <v>110</v>
      </c>
      <c r="D20" s="23">
        <f t="shared" ref="D20:D22" si="18">(C20*P20)/100</f>
        <v>36.024999999999999</v>
      </c>
      <c r="E20" s="22"/>
      <c r="F20" s="24">
        <f t="shared" si="15"/>
        <v>0</v>
      </c>
      <c r="G20" s="25">
        <f t="shared" si="16"/>
        <v>110</v>
      </c>
      <c r="H20" s="25">
        <f t="shared" si="17"/>
        <v>36.024999999999999</v>
      </c>
      <c r="I20" s="25"/>
      <c r="J20" s="25"/>
      <c r="K20" s="25"/>
      <c r="L20" s="26"/>
      <c r="N20" s="18"/>
      <c r="O20" s="27"/>
      <c r="P20" s="28">
        <v>32.75</v>
      </c>
    </row>
    <row r="21" spans="1:16" x14ac:dyDescent="0.25">
      <c r="A21" s="9"/>
      <c r="B21" s="21" t="s">
        <v>15</v>
      </c>
      <c r="C21" s="22">
        <v>19760</v>
      </c>
      <c r="D21" s="23">
        <f t="shared" si="18"/>
        <v>5813.3920000000007</v>
      </c>
      <c r="E21" s="22">
        <v>4428</v>
      </c>
      <c r="F21" s="24">
        <f t="shared" si="15"/>
        <v>1302.7176000000002</v>
      </c>
      <c r="G21" s="25">
        <f t="shared" si="16"/>
        <v>15332</v>
      </c>
      <c r="H21" s="25">
        <f t="shared" si="17"/>
        <v>4510.6743999999999</v>
      </c>
      <c r="I21" s="25"/>
      <c r="J21" s="25">
        <f>E21*1.35/100</f>
        <v>59.777999999999999</v>
      </c>
      <c r="K21" s="25">
        <f>C21*1.76/100</f>
        <v>347.77600000000001</v>
      </c>
      <c r="L21" s="26"/>
      <c r="N21" s="18"/>
      <c r="O21" s="27" t="s">
        <v>15</v>
      </c>
      <c r="P21" s="28">
        <v>29.42</v>
      </c>
    </row>
    <row r="22" spans="1:16" x14ac:dyDescent="0.25">
      <c r="A22" s="9"/>
      <c r="B22" s="21"/>
      <c r="C22" s="22">
        <v>44710</v>
      </c>
      <c r="D22" s="23">
        <f t="shared" si="18"/>
        <v>12836.241000000002</v>
      </c>
      <c r="E22" s="22">
        <v>12431</v>
      </c>
      <c r="F22" s="24">
        <f>(E22*P22)/100</f>
        <v>3568.9401000000003</v>
      </c>
      <c r="G22" s="25">
        <f>C22-E22</f>
        <v>32279</v>
      </c>
      <c r="H22" s="25">
        <f>(G22*P22)/100</f>
        <v>9267.3009000000002</v>
      </c>
      <c r="I22" s="25"/>
      <c r="J22" s="25">
        <f>E22*1.28/100</f>
        <v>159.11680000000001</v>
      </c>
      <c r="K22" s="25">
        <f>C22*1.76/100</f>
        <v>786.89600000000007</v>
      </c>
      <c r="L22" s="26"/>
      <c r="O22" s="27"/>
      <c r="P22" s="28">
        <v>28.71</v>
      </c>
    </row>
    <row r="24" spans="1:16" ht="14.4" x14ac:dyDescent="0.3">
      <c r="A24" s="9" t="s">
        <v>18</v>
      </c>
      <c r="B24" s="10">
        <v>45756</v>
      </c>
      <c r="C24" s="11">
        <f t="shared" ref="C24:H24" si="19">SUM(C25:C26)</f>
        <v>180930</v>
      </c>
      <c r="D24" s="12">
        <f t="shared" si="19"/>
        <v>52100.139000000003</v>
      </c>
      <c r="E24" s="11">
        <f t="shared" si="19"/>
        <v>54513</v>
      </c>
      <c r="F24" s="13">
        <f t="shared" si="19"/>
        <v>15650.6823</v>
      </c>
      <c r="G24" s="14">
        <f t="shared" si="19"/>
        <v>126417</v>
      </c>
      <c r="H24" s="15">
        <f t="shared" si="19"/>
        <v>36449.456699999995</v>
      </c>
      <c r="I24" s="16">
        <f>120.84+11001.19+203.65+11117.35</f>
        <v>22443.03</v>
      </c>
      <c r="J24" s="15">
        <f>SUM(J25:J26)</f>
        <v>697.76639999999998</v>
      </c>
      <c r="K24" s="15">
        <f>SUM(K25:K26)</f>
        <v>3184.3679999999999</v>
      </c>
      <c r="L24" s="17">
        <f>F24+I24-J24-K24</f>
        <v>34211.577899999997</v>
      </c>
      <c r="N24" s="18"/>
      <c r="O24" s="19"/>
      <c r="P24" s="20"/>
    </row>
    <row r="25" spans="1:16" x14ac:dyDescent="0.25">
      <c r="A25" s="9"/>
      <c r="B25" s="31" t="s">
        <v>19</v>
      </c>
      <c r="C25" s="22">
        <f>1430+2410</f>
        <v>3840</v>
      </c>
      <c r="D25" s="23">
        <f t="shared" ref="D25:D26" si="20">(C25*P25)/100</f>
        <v>1257.5999999999999</v>
      </c>
      <c r="E25" s="22"/>
      <c r="F25" s="24">
        <f t="shared" ref="F25" si="21">(E25*P25)/100</f>
        <v>0</v>
      </c>
      <c r="G25" s="25">
        <f>C25-E25</f>
        <v>3840</v>
      </c>
      <c r="H25" s="25">
        <f t="shared" ref="H25" si="22">(G25*P25)/100</f>
        <v>1257.5999999999999</v>
      </c>
      <c r="I25" s="25"/>
      <c r="J25" s="25">
        <f>E25*1.28/100</f>
        <v>0</v>
      </c>
      <c r="K25" s="25">
        <f>C25*1.76/100</f>
        <v>67.584000000000003</v>
      </c>
      <c r="L25" s="26"/>
      <c r="N25" s="18"/>
      <c r="O25" s="32" t="s">
        <v>19</v>
      </c>
      <c r="P25" s="28">
        <v>32.75</v>
      </c>
    </row>
    <row r="26" spans="1:16" x14ac:dyDescent="0.25">
      <c r="A26" s="9"/>
      <c r="B26" s="31" t="s">
        <v>15</v>
      </c>
      <c r="C26" s="22">
        <f>88080+89010</f>
        <v>177090</v>
      </c>
      <c r="D26" s="23">
        <f t="shared" si="20"/>
        <v>50842.539000000004</v>
      </c>
      <c r="E26" s="22">
        <f>29104+25409</f>
        <v>54513</v>
      </c>
      <c r="F26" s="24">
        <f>(E26*P26)/100</f>
        <v>15650.6823</v>
      </c>
      <c r="G26" s="25">
        <f>C26-E26</f>
        <v>122577</v>
      </c>
      <c r="H26" s="25">
        <f>(G26*P26)/100</f>
        <v>35191.856699999997</v>
      </c>
      <c r="I26" s="25"/>
      <c r="J26" s="25">
        <f>E26*1.28/100</f>
        <v>697.76639999999998</v>
      </c>
      <c r="K26" s="25">
        <f>C26*1.76/100</f>
        <v>3116.7840000000001</v>
      </c>
      <c r="L26" s="26"/>
      <c r="O26" s="32" t="s">
        <v>15</v>
      </c>
      <c r="P26" s="28">
        <v>28.71</v>
      </c>
    </row>
    <row r="28" spans="1:16" ht="14.4" x14ac:dyDescent="0.3">
      <c r="A28" s="9" t="s">
        <v>20</v>
      </c>
      <c r="B28" s="10" t="s">
        <v>21</v>
      </c>
      <c r="C28" s="11">
        <f t="shared" ref="C28:E28" si="23">SUM(C29:C32)</f>
        <v>105610</v>
      </c>
      <c r="D28" s="12">
        <f t="shared" si="23"/>
        <v>36199.841</v>
      </c>
      <c r="E28" s="11">
        <f t="shared" si="23"/>
        <v>28690</v>
      </c>
      <c r="F28" s="13">
        <f>SUM(F29:F32)</f>
        <v>9263.7003000000004</v>
      </c>
      <c r="G28" s="14">
        <f>SUM(G29:G32)</f>
        <v>76920</v>
      </c>
      <c r="H28" s="15">
        <f t="shared" ref="H28" si="24">SUM(H29:H32)</f>
        <v>26936.140700000004</v>
      </c>
      <c r="I28" s="15">
        <v>9031.6880000000019</v>
      </c>
      <c r="J28" s="15">
        <f>SUM(J29:J32)</f>
        <v>407.65039999999999</v>
      </c>
      <c r="K28" s="15">
        <f t="shared" ref="K28" si="25">SUM(K29:K32)</f>
        <v>1858.7360000000001</v>
      </c>
      <c r="L28" s="33">
        <f>D28+I28-J28-K28</f>
        <v>42965.142600000006</v>
      </c>
      <c r="N28" s="34" t="s">
        <v>22</v>
      </c>
      <c r="O28" s="19"/>
      <c r="P28" s="20"/>
    </row>
    <row r="29" spans="1:16" x14ac:dyDescent="0.25">
      <c r="A29" s="9"/>
      <c r="B29" s="35" t="s">
        <v>23</v>
      </c>
      <c r="C29" s="22">
        <v>970</v>
      </c>
      <c r="D29" s="23">
        <f>(C29*P29)/100</f>
        <v>317.67500000000001</v>
      </c>
      <c r="E29" s="22"/>
      <c r="F29" s="24">
        <f t="shared" ref="F29:F31" si="26">(E29*P29)/100</f>
        <v>0</v>
      </c>
      <c r="G29" s="25">
        <f>C29-E29</f>
        <v>970</v>
      </c>
      <c r="H29" s="25">
        <f t="shared" ref="H29:H31" si="27">(G29*P29)/100</f>
        <v>317.67500000000001</v>
      </c>
      <c r="I29" s="7"/>
      <c r="J29" s="25"/>
      <c r="K29" s="25">
        <f t="shared" ref="K29:K30" si="28">C29*1.76/100</f>
        <v>17.071999999999999</v>
      </c>
      <c r="L29" s="26"/>
      <c r="N29" s="36"/>
      <c r="O29" s="27" t="s">
        <v>14</v>
      </c>
      <c r="P29" s="28">
        <v>32.75</v>
      </c>
    </row>
    <row r="30" spans="1:16" x14ac:dyDescent="0.25">
      <c r="A30" s="9"/>
      <c r="B30" s="35" t="s">
        <v>24</v>
      </c>
      <c r="C30" s="22">
        <v>1930</v>
      </c>
      <c r="D30" s="23">
        <f t="shared" ref="D30:D32" si="29">(C30*P30)/100</f>
        <v>2515.3690000000001</v>
      </c>
      <c r="E30" s="22"/>
      <c r="F30" s="24">
        <f t="shared" si="26"/>
        <v>0</v>
      </c>
      <c r="G30" s="25">
        <f t="shared" ref="G30:G31" si="30">C30-E30</f>
        <v>1930</v>
      </c>
      <c r="H30" s="25">
        <f t="shared" si="27"/>
        <v>2515.3690000000001</v>
      </c>
      <c r="I30" s="7"/>
      <c r="J30" s="25"/>
      <c r="K30" s="25">
        <f t="shared" si="28"/>
        <v>33.968000000000004</v>
      </c>
      <c r="L30" s="26"/>
      <c r="N30" s="36"/>
      <c r="O30" s="27"/>
      <c r="P30" s="28">
        <v>130.33000000000001</v>
      </c>
    </row>
    <row r="31" spans="1:16" x14ac:dyDescent="0.25">
      <c r="A31" s="9"/>
      <c r="B31" s="35" t="s">
        <v>25</v>
      </c>
      <c r="C31" s="22">
        <v>35950</v>
      </c>
      <c r="D31" s="23">
        <f t="shared" si="29"/>
        <v>10321.245000000001</v>
      </c>
      <c r="E31" s="22">
        <v>11017</v>
      </c>
      <c r="F31" s="24">
        <f t="shared" si="26"/>
        <v>3162.9807000000001</v>
      </c>
      <c r="G31" s="25">
        <f t="shared" si="30"/>
        <v>24933</v>
      </c>
      <c r="H31" s="25">
        <f t="shared" si="27"/>
        <v>7158.2643000000007</v>
      </c>
      <c r="I31" s="7"/>
      <c r="J31" s="25">
        <f>E31*1.31/100</f>
        <v>144.3227</v>
      </c>
      <c r="K31" s="25">
        <f>C31*1.76/100</f>
        <v>632.72</v>
      </c>
      <c r="L31" s="26"/>
      <c r="N31" s="36"/>
      <c r="O31" s="27" t="s">
        <v>15</v>
      </c>
      <c r="P31" s="28">
        <v>28.71</v>
      </c>
    </row>
    <row r="32" spans="1:16" x14ac:dyDescent="0.25">
      <c r="A32" s="9"/>
      <c r="B32" s="35" t="s">
        <v>26</v>
      </c>
      <c r="C32" s="22">
        <v>66760</v>
      </c>
      <c r="D32" s="23">
        <f t="shared" si="29"/>
        <v>23045.552000000003</v>
      </c>
      <c r="E32" s="22">
        <v>17673</v>
      </c>
      <c r="F32" s="24">
        <f>(E32*P32)/100</f>
        <v>6100.7196000000004</v>
      </c>
      <c r="G32" s="25">
        <f>C32-E32</f>
        <v>49087</v>
      </c>
      <c r="H32" s="25">
        <f>(G32*P32)/100</f>
        <v>16944.832400000003</v>
      </c>
      <c r="I32" s="7"/>
      <c r="J32" s="25">
        <f>E32*1.49/100</f>
        <v>263.32769999999999</v>
      </c>
      <c r="K32" s="25">
        <f>C32*1.76/100</f>
        <v>1174.9760000000001</v>
      </c>
      <c r="L32" s="26"/>
      <c r="N32" s="36"/>
      <c r="O32" s="27"/>
      <c r="P32" s="28">
        <v>34.520000000000003</v>
      </c>
    </row>
    <row r="33" spans="1:16" x14ac:dyDescent="0.25">
      <c r="A33" s="37"/>
      <c r="B33" s="35"/>
      <c r="C33" s="22"/>
      <c r="D33" s="23"/>
      <c r="E33" s="22"/>
      <c r="F33" s="24"/>
      <c r="G33" s="25"/>
      <c r="H33" s="25"/>
      <c r="I33" s="7"/>
      <c r="J33" s="25"/>
      <c r="K33" s="25"/>
      <c r="L33" s="26"/>
      <c r="N33" s="36"/>
      <c r="O33" s="32"/>
      <c r="P33" s="28"/>
    </row>
    <row r="34" spans="1:16" ht="14.4" x14ac:dyDescent="0.3">
      <c r="A34" s="9" t="s">
        <v>27</v>
      </c>
      <c r="B34" s="10" t="s">
        <v>21</v>
      </c>
      <c r="C34" s="11">
        <f t="shared" ref="C34:D34" si="31">SUM(C35:C38)</f>
        <v>87610</v>
      </c>
      <c r="D34" s="12">
        <f t="shared" si="31"/>
        <v>33040.624000000003</v>
      </c>
      <c r="E34" s="11">
        <f>SUM(E35:E38)</f>
        <v>9829</v>
      </c>
      <c r="F34" s="13">
        <f>SUM(F35:F38)</f>
        <v>3392.9708000000001</v>
      </c>
      <c r="G34" s="14">
        <f>SUM(G35:G38)</f>
        <v>77781</v>
      </c>
      <c r="H34" s="15">
        <f t="shared" ref="H34" si="32">SUM(H35:H38)</f>
        <v>29647.653200000004</v>
      </c>
      <c r="I34" s="15">
        <f>SUM(I35:I38)</f>
        <v>5657.2920000000004</v>
      </c>
      <c r="J34" s="15">
        <f>SUM(J35:J38)</f>
        <v>146.4521</v>
      </c>
      <c r="K34" s="15">
        <f t="shared" ref="K34" si="33">SUM(K35:K38)</f>
        <v>1541.9360000000001</v>
      </c>
      <c r="L34" s="33">
        <f>D34+I34-J34-K34</f>
        <v>37009.527900000001</v>
      </c>
      <c r="N34" s="34" t="s">
        <v>22</v>
      </c>
      <c r="O34" s="19"/>
      <c r="P34" s="20"/>
    </row>
    <row r="35" spans="1:16" x14ac:dyDescent="0.25">
      <c r="A35" s="9"/>
      <c r="B35" s="35" t="s">
        <v>24</v>
      </c>
      <c r="C35" s="22">
        <v>1040</v>
      </c>
      <c r="D35" s="23">
        <f>(C35*P35)/100</f>
        <v>1355.432</v>
      </c>
      <c r="E35" s="22"/>
      <c r="F35" s="24">
        <f>(E35*P35)/100</f>
        <v>0</v>
      </c>
      <c r="G35" s="25">
        <f>C35-E35</f>
        <v>1040</v>
      </c>
      <c r="H35" s="25">
        <f t="shared" ref="H35:H37" si="34">(G35*P35)/100</f>
        <v>1355.432</v>
      </c>
      <c r="I35" s="38">
        <f t="shared" ref="I35:I37" si="35">IF(41.2&gt;P35,41.2-P35)/100*C35</f>
        <v>0</v>
      </c>
      <c r="J35" s="25"/>
      <c r="K35" s="25">
        <f t="shared" ref="K35:K36" si="36">C35*1.76/100</f>
        <v>18.304000000000002</v>
      </c>
      <c r="L35" s="26"/>
      <c r="N35" s="36"/>
      <c r="O35" s="27" t="s">
        <v>14</v>
      </c>
      <c r="P35" s="28">
        <v>130.33000000000001</v>
      </c>
    </row>
    <row r="36" spans="1:16" x14ac:dyDescent="0.25">
      <c r="A36" s="9"/>
      <c r="B36" s="35" t="s">
        <v>24</v>
      </c>
      <c r="C36" s="22">
        <v>1880</v>
      </c>
      <c r="D36" s="23">
        <f t="shared" ref="D36:D38" si="37">(C36*P36)/100</f>
        <v>2450.2040000000002</v>
      </c>
      <c r="E36" s="22"/>
      <c r="F36" s="24">
        <f>(E36*P36)/100</f>
        <v>0</v>
      </c>
      <c r="G36" s="25">
        <f>C36-E36</f>
        <v>1880</v>
      </c>
      <c r="H36" s="25">
        <f t="shared" si="34"/>
        <v>2450.2040000000002</v>
      </c>
      <c r="I36" s="38">
        <f t="shared" si="35"/>
        <v>0</v>
      </c>
      <c r="J36" s="25"/>
      <c r="K36" s="25">
        <f t="shared" si="36"/>
        <v>33.088000000000001</v>
      </c>
      <c r="L36" s="26"/>
      <c r="N36" s="36"/>
      <c r="O36" s="27"/>
      <c r="P36" s="28">
        <v>130.33000000000001</v>
      </c>
    </row>
    <row r="37" spans="1:16" x14ac:dyDescent="0.25">
      <c r="A37" s="9"/>
      <c r="B37" s="35" t="s">
        <v>26</v>
      </c>
      <c r="C37" s="22">
        <v>27370</v>
      </c>
      <c r="D37" s="23">
        <f t="shared" si="37"/>
        <v>9448.1240000000016</v>
      </c>
      <c r="E37" s="22"/>
      <c r="F37" s="24">
        <f t="shared" ref="F37" si="38">(E37*P37)/100</f>
        <v>0</v>
      </c>
      <c r="G37" s="25">
        <f t="shared" ref="G37" si="39">C37-E37</f>
        <v>27370</v>
      </c>
      <c r="H37" s="25">
        <f t="shared" si="34"/>
        <v>9448.1240000000016</v>
      </c>
      <c r="I37" s="38">
        <f t="shared" si="35"/>
        <v>1828.316</v>
      </c>
      <c r="J37" s="25">
        <f>E37*1.31/100</f>
        <v>0</v>
      </c>
      <c r="K37" s="25">
        <f>C37*1.76/100</f>
        <v>481.71199999999999</v>
      </c>
      <c r="L37" s="26"/>
      <c r="N37" s="36"/>
      <c r="O37" s="27" t="s">
        <v>15</v>
      </c>
      <c r="P37" s="28">
        <v>34.520000000000003</v>
      </c>
    </row>
    <row r="38" spans="1:16" x14ac:dyDescent="0.25">
      <c r="A38" s="9"/>
      <c r="B38" s="35" t="s">
        <v>26</v>
      </c>
      <c r="C38" s="22">
        <v>57320</v>
      </c>
      <c r="D38" s="23">
        <f t="shared" si="37"/>
        <v>19786.864000000001</v>
      </c>
      <c r="E38" s="22">
        <v>9829</v>
      </c>
      <c r="F38" s="24">
        <f>(E38*P38)/100</f>
        <v>3392.9708000000001</v>
      </c>
      <c r="G38" s="25">
        <f>C38-E38</f>
        <v>47491</v>
      </c>
      <c r="H38" s="25">
        <f>(G38*P38)/100</f>
        <v>16393.893200000002</v>
      </c>
      <c r="I38" s="38">
        <f>IF(41.2&gt;P38,41.2-P38)/100*C38</f>
        <v>3828.9760000000001</v>
      </c>
      <c r="J38" s="25">
        <f>E38*1.49/100</f>
        <v>146.4521</v>
      </c>
      <c r="K38" s="25">
        <f>C38*1.76/100</f>
        <v>1008.832</v>
      </c>
      <c r="L38" s="26"/>
      <c r="N38" s="36"/>
      <c r="O38" s="27"/>
      <c r="P38" s="28">
        <v>34.520000000000003</v>
      </c>
    </row>
    <row r="39" spans="1:16" x14ac:dyDescent="0.25">
      <c r="A39" s="37"/>
      <c r="B39" s="35"/>
      <c r="C39" s="22"/>
      <c r="D39" s="23"/>
      <c r="E39" s="22"/>
      <c r="F39" s="24"/>
      <c r="G39" s="25"/>
      <c r="H39" s="25"/>
      <c r="I39" s="38"/>
      <c r="J39" s="25"/>
      <c r="K39" s="25"/>
      <c r="L39" s="26"/>
      <c r="N39" s="36"/>
      <c r="O39" s="32"/>
      <c r="P39" s="28"/>
    </row>
    <row r="40" spans="1:16" ht="14.4" x14ac:dyDescent="0.3">
      <c r="A40" s="9" t="s">
        <v>28</v>
      </c>
      <c r="B40" s="10" t="s">
        <v>21</v>
      </c>
      <c r="C40" s="11">
        <f t="shared" ref="C40:D40" si="40">SUM(C41:C44)</f>
        <v>87490</v>
      </c>
      <c r="D40" s="12">
        <f t="shared" si="40"/>
        <v>32874.646999999997</v>
      </c>
      <c r="E40" s="11">
        <f>SUM(E41:E44)</f>
        <v>7715</v>
      </c>
      <c r="F40" s="13">
        <f>SUM(F41:F44)</f>
        <v>2663.2180000000003</v>
      </c>
      <c r="G40" s="14">
        <f>SUM(G41:G44)</f>
        <v>79775</v>
      </c>
      <c r="H40" s="15">
        <f t="shared" ref="H40" si="41">SUM(H41:H44)</f>
        <v>30211.429000000004</v>
      </c>
      <c r="I40" s="15">
        <f>SUM(I41:I44)</f>
        <v>5657.96</v>
      </c>
      <c r="J40" s="15">
        <f>SUM(J41:J44)</f>
        <v>114.95350000000001</v>
      </c>
      <c r="K40" s="15">
        <f t="shared" ref="K40" si="42">SUM(K41:K44)</f>
        <v>1539.8240000000001</v>
      </c>
      <c r="L40" s="33">
        <f>D40+I40-J40-K40</f>
        <v>36877.829499999993</v>
      </c>
      <c r="N40" s="34" t="s">
        <v>22</v>
      </c>
      <c r="O40" s="19"/>
      <c r="P40" s="20"/>
    </row>
    <row r="41" spans="1:16" x14ac:dyDescent="0.25">
      <c r="A41" s="9"/>
      <c r="B41" s="35" t="s">
        <v>24</v>
      </c>
      <c r="C41" s="22">
        <v>1330</v>
      </c>
      <c r="D41" s="23">
        <f>(C41*P41)/100</f>
        <v>1733.3890000000001</v>
      </c>
      <c r="E41" s="22"/>
      <c r="F41" s="24">
        <f>(E41*P41)/100</f>
        <v>0</v>
      </c>
      <c r="G41" s="25">
        <f>C41-E41</f>
        <v>1330</v>
      </c>
      <c r="H41" s="25">
        <f t="shared" ref="H41:H43" si="43">(G41*P41)/100</f>
        <v>1733.3890000000001</v>
      </c>
      <c r="I41" s="38">
        <f t="shared" ref="I41:I43" si="44">IF(41.2&gt;P41,41.2-P41)/100*C41</f>
        <v>0</v>
      </c>
      <c r="J41" s="25"/>
      <c r="K41" s="25">
        <f t="shared" ref="K41:K42" si="45">C41*1.76/100</f>
        <v>23.408000000000001</v>
      </c>
      <c r="L41" s="26"/>
      <c r="N41" s="36"/>
      <c r="O41" s="27" t="s">
        <v>14</v>
      </c>
      <c r="P41" s="28">
        <v>130.33000000000001</v>
      </c>
    </row>
    <row r="42" spans="1:16" x14ac:dyDescent="0.25">
      <c r="A42" s="9"/>
      <c r="B42" s="35" t="s">
        <v>24</v>
      </c>
      <c r="C42" s="22">
        <v>1460</v>
      </c>
      <c r="D42" s="23">
        <f t="shared" ref="D42:D44" si="46">(C42*P42)/100</f>
        <v>1902.8180000000002</v>
      </c>
      <c r="E42" s="22"/>
      <c r="F42" s="24">
        <f>(E42*P42)/100</f>
        <v>0</v>
      </c>
      <c r="G42" s="25">
        <f>C42-E42</f>
        <v>1460</v>
      </c>
      <c r="H42" s="25">
        <f t="shared" si="43"/>
        <v>1902.8180000000002</v>
      </c>
      <c r="I42" s="38">
        <f t="shared" si="44"/>
        <v>0</v>
      </c>
      <c r="J42" s="25"/>
      <c r="K42" s="25">
        <f t="shared" si="45"/>
        <v>25.695999999999998</v>
      </c>
      <c r="L42" s="26"/>
      <c r="N42" s="36"/>
      <c r="O42" s="27"/>
      <c r="P42" s="28">
        <v>130.33000000000001</v>
      </c>
    </row>
    <row r="43" spans="1:16" x14ac:dyDescent="0.25">
      <c r="A43" s="9"/>
      <c r="B43" s="35" t="s">
        <v>26</v>
      </c>
      <c r="C43" s="22">
        <v>34320</v>
      </c>
      <c r="D43" s="23">
        <f t="shared" si="46"/>
        <v>11847.264000000001</v>
      </c>
      <c r="E43" s="22"/>
      <c r="F43" s="24">
        <f t="shared" ref="F43" si="47">(E43*P43)/100</f>
        <v>0</v>
      </c>
      <c r="G43" s="25">
        <f t="shared" ref="G43" si="48">C43-E43</f>
        <v>34320</v>
      </c>
      <c r="H43" s="25">
        <f t="shared" si="43"/>
        <v>11847.264000000001</v>
      </c>
      <c r="I43" s="38">
        <f t="shared" si="44"/>
        <v>2292.576</v>
      </c>
      <c r="J43" s="25">
        <f>E43*1.31/100</f>
        <v>0</v>
      </c>
      <c r="K43" s="25">
        <f>C43*1.76/100</f>
        <v>604.03199999999993</v>
      </c>
      <c r="L43" s="26"/>
      <c r="N43" s="36"/>
      <c r="O43" s="27" t="s">
        <v>15</v>
      </c>
      <c r="P43" s="28">
        <v>34.520000000000003</v>
      </c>
    </row>
    <row r="44" spans="1:16" x14ac:dyDescent="0.25">
      <c r="A44" s="9"/>
      <c r="B44" s="35" t="s">
        <v>26</v>
      </c>
      <c r="C44" s="22">
        <v>50380</v>
      </c>
      <c r="D44" s="23">
        <f t="shared" si="46"/>
        <v>17391.175999999999</v>
      </c>
      <c r="E44" s="22">
        <v>7715</v>
      </c>
      <c r="F44" s="24">
        <f>(E44*P44)/100</f>
        <v>2663.2180000000003</v>
      </c>
      <c r="G44" s="25">
        <f>C44-E44</f>
        <v>42665</v>
      </c>
      <c r="H44" s="25">
        <f>(G44*P44)/100</f>
        <v>14727.958000000001</v>
      </c>
      <c r="I44" s="38">
        <f>IF(41.2&gt;P44,41.2-P44)/100*C44</f>
        <v>3365.384</v>
      </c>
      <c r="J44" s="25">
        <f>E44*1.49/100</f>
        <v>114.95350000000001</v>
      </c>
      <c r="K44" s="25">
        <f>C44*1.76/100</f>
        <v>886.68799999999999</v>
      </c>
      <c r="L44" s="26"/>
      <c r="N44" s="36"/>
      <c r="O44" s="27"/>
      <c r="P44" s="28">
        <v>34.520000000000003</v>
      </c>
    </row>
    <row r="45" spans="1:16" x14ac:dyDescent="0.25">
      <c r="A45" s="37"/>
      <c r="B45" s="35"/>
      <c r="C45" s="22"/>
      <c r="D45" s="23"/>
      <c r="E45" s="22"/>
      <c r="F45" s="24"/>
      <c r="G45" s="25"/>
      <c r="H45" s="25"/>
      <c r="I45" s="38"/>
      <c r="J45" s="25"/>
      <c r="K45" s="25"/>
      <c r="L45" s="26"/>
      <c r="N45" s="36"/>
      <c r="O45" s="32"/>
      <c r="P45" s="28"/>
    </row>
    <row r="46" spans="1:16" ht="14.4" x14ac:dyDescent="0.3">
      <c r="A46" s="9" t="s">
        <v>29</v>
      </c>
      <c r="B46" s="10" t="s">
        <v>21</v>
      </c>
      <c r="C46" s="11">
        <f t="shared" ref="C46:D46" si="49">SUM(C47:C50)</f>
        <v>76140</v>
      </c>
      <c r="D46" s="12">
        <f t="shared" si="49"/>
        <v>27816.488000000001</v>
      </c>
      <c r="E46" s="11">
        <f>SUM(E47:E50)</f>
        <v>6224</v>
      </c>
      <c r="F46" s="13">
        <f>SUM(F47:F50)</f>
        <v>2148.5248000000001</v>
      </c>
      <c r="G46" s="14">
        <f>SUM(G47:G50)</f>
        <v>69916</v>
      </c>
      <c r="H46" s="15">
        <f t="shared" ref="H46" si="50">SUM(H47:H50)</f>
        <v>25667.963199999998</v>
      </c>
      <c r="I46" s="15">
        <f>SUM(I47:I50)</f>
        <v>4979.2719999999999</v>
      </c>
      <c r="J46" s="15">
        <f>SUM(J47:J50)</f>
        <v>92.7376</v>
      </c>
      <c r="K46" s="15">
        <f t="shared" ref="K46" si="51">SUM(K47:K50)</f>
        <v>1340.0639999999999</v>
      </c>
      <c r="L46" s="33">
        <f>D46+I46-J46-K46</f>
        <v>31362.958400000003</v>
      </c>
      <c r="N46" s="34" t="s">
        <v>22</v>
      </c>
      <c r="O46" s="19"/>
      <c r="P46" s="20"/>
    </row>
    <row r="47" spans="1:16" x14ac:dyDescent="0.25">
      <c r="A47" s="9"/>
      <c r="B47" s="35" t="s">
        <v>24</v>
      </c>
      <c r="C47" s="22">
        <v>740</v>
      </c>
      <c r="D47" s="23">
        <f>(C47*P47)/100</f>
        <v>964.44200000000012</v>
      </c>
      <c r="E47" s="22"/>
      <c r="F47" s="24">
        <f>(E47*P47)/100</f>
        <v>0</v>
      </c>
      <c r="G47" s="25">
        <f>C47-E47</f>
        <v>740</v>
      </c>
      <c r="H47" s="25">
        <f t="shared" ref="H47:H49" si="52">(G47*P47)/100</f>
        <v>964.44200000000012</v>
      </c>
      <c r="I47" s="38">
        <f t="shared" ref="I47:I49" si="53">IF(41.2&gt;P47,41.2-P47)/100*C47</f>
        <v>0</v>
      </c>
      <c r="J47" s="25">
        <f t="shared" ref="J47:J49" si="54">E47*1.49/100</f>
        <v>0</v>
      </c>
      <c r="K47" s="25">
        <f t="shared" ref="K47:K48" si="55">C47*1.76/100</f>
        <v>13.024000000000001</v>
      </c>
      <c r="L47" s="26"/>
      <c r="N47" s="36"/>
      <c r="O47" s="27" t="s">
        <v>14</v>
      </c>
      <c r="P47" s="28">
        <v>130.33000000000001</v>
      </c>
    </row>
    <row r="48" spans="1:16" x14ac:dyDescent="0.25">
      <c r="A48" s="9"/>
      <c r="B48" s="35" t="s">
        <v>24</v>
      </c>
      <c r="C48" s="22">
        <v>860</v>
      </c>
      <c r="D48" s="23">
        <f t="shared" ref="D48:D50" si="56">(C48*P48)/100</f>
        <v>1120.8380000000002</v>
      </c>
      <c r="E48" s="22"/>
      <c r="F48" s="24">
        <f>(E48*P48)/100</f>
        <v>0</v>
      </c>
      <c r="G48" s="25">
        <f>C48-E48</f>
        <v>860</v>
      </c>
      <c r="H48" s="25">
        <f t="shared" si="52"/>
        <v>1120.8380000000002</v>
      </c>
      <c r="I48" s="38">
        <f t="shared" si="53"/>
        <v>0</v>
      </c>
      <c r="J48" s="25">
        <f t="shared" si="54"/>
        <v>0</v>
      </c>
      <c r="K48" s="25">
        <f t="shared" si="55"/>
        <v>15.135999999999999</v>
      </c>
      <c r="L48" s="26"/>
      <c r="N48" s="36"/>
      <c r="O48" s="27"/>
      <c r="P48" s="28">
        <v>130.33000000000001</v>
      </c>
    </row>
    <row r="49" spans="1:16" x14ac:dyDescent="0.25">
      <c r="A49" s="9"/>
      <c r="B49" s="35" t="s">
        <v>26</v>
      </c>
      <c r="C49" s="22">
        <v>32000</v>
      </c>
      <c r="D49" s="23">
        <f t="shared" si="56"/>
        <v>11046.4</v>
      </c>
      <c r="E49" s="22"/>
      <c r="F49" s="24">
        <f t="shared" ref="F49" si="57">(E49*P49)/100</f>
        <v>0</v>
      </c>
      <c r="G49" s="25">
        <f t="shared" ref="G49" si="58">C49-E49</f>
        <v>32000</v>
      </c>
      <c r="H49" s="25">
        <f t="shared" si="52"/>
        <v>11046.4</v>
      </c>
      <c r="I49" s="38">
        <f t="shared" si="53"/>
        <v>2137.6</v>
      </c>
      <c r="J49" s="25">
        <f t="shared" si="54"/>
        <v>0</v>
      </c>
      <c r="K49" s="25">
        <f>C49*1.76/100</f>
        <v>563.20000000000005</v>
      </c>
      <c r="L49" s="26"/>
      <c r="N49" s="36"/>
      <c r="O49" s="27" t="s">
        <v>15</v>
      </c>
      <c r="P49" s="28">
        <v>34.520000000000003</v>
      </c>
    </row>
    <row r="50" spans="1:16" x14ac:dyDescent="0.25">
      <c r="A50" s="9"/>
      <c r="B50" s="35" t="s">
        <v>26</v>
      </c>
      <c r="C50" s="22">
        <v>42540</v>
      </c>
      <c r="D50" s="23">
        <f t="shared" si="56"/>
        <v>14684.808000000001</v>
      </c>
      <c r="E50" s="22">
        <v>6224</v>
      </c>
      <c r="F50" s="24">
        <f>(E50*P50)/100</f>
        <v>2148.5248000000001</v>
      </c>
      <c r="G50" s="25">
        <f>C50-E50</f>
        <v>36316</v>
      </c>
      <c r="H50" s="25">
        <f>(G50*P50)/100</f>
        <v>12536.2832</v>
      </c>
      <c r="I50" s="39">
        <f>IF(41.2&gt;P50,41.2-P50)/100*C50</f>
        <v>2841.672</v>
      </c>
      <c r="J50" s="25">
        <f>E50*1.49/100</f>
        <v>92.7376</v>
      </c>
      <c r="K50" s="25">
        <f>C50*1.76/100</f>
        <v>748.70399999999995</v>
      </c>
      <c r="L50" s="26"/>
      <c r="N50" s="36"/>
      <c r="O50" s="27"/>
      <c r="P50" s="28">
        <v>34.520000000000003</v>
      </c>
    </row>
    <row r="51" spans="1:16" x14ac:dyDescent="0.25">
      <c r="A51" s="37"/>
      <c r="B51" s="35"/>
      <c r="C51" s="22"/>
      <c r="D51" s="23"/>
      <c r="E51" s="22"/>
      <c r="F51" s="24"/>
      <c r="G51" s="25"/>
      <c r="H51" s="25"/>
      <c r="I51" s="38"/>
      <c r="J51" s="25"/>
      <c r="K51" s="25"/>
      <c r="L51" s="26"/>
      <c r="N51" s="36"/>
      <c r="O51" s="32"/>
      <c r="P51" s="28"/>
    </row>
    <row r="52" spans="1:16" ht="14.4" x14ac:dyDescent="0.3">
      <c r="A52" s="40" t="s">
        <v>30</v>
      </c>
      <c r="B52" s="10" t="s">
        <v>21</v>
      </c>
      <c r="C52" s="11">
        <f>SUM(C53:C56)</f>
        <v>75960</v>
      </c>
      <c r="D52" s="12">
        <f t="shared" ref="D52" si="59">SUM(D53:D56)</f>
        <v>23796.574000000001</v>
      </c>
      <c r="E52" s="11">
        <f>SUM(E53:E56)</f>
        <v>3610</v>
      </c>
      <c r="F52" s="13">
        <f>SUM(F53:F56)</f>
        <v>1036.431</v>
      </c>
      <c r="G52" s="14">
        <f>SUM(G53:G56)</f>
        <v>72350</v>
      </c>
      <c r="H52" s="15">
        <f t="shared" ref="H52" si="60">SUM(H53:H56)</f>
        <v>22760.143000000004</v>
      </c>
      <c r="I52" s="15">
        <f>SUM(I53:I56)</f>
        <v>7721.7710000000006</v>
      </c>
      <c r="J52" s="15">
        <f>SUM(J53:J56)</f>
        <v>53.788999999999994</v>
      </c>
      <c r="K52" s="15">
        <f t="shared" ref="K52" si="61">SUM(K53:K56)</f>
        <v>1336.8960000000002</v>
      </c>
      <c r="L52" s="33">
        <f>D52+I52-J52-K52</f>
        <v>30127.66</v>
      </c>
      <c r="N52" s="34" t="s">
        <v>22</v>
      </c>
      <c r="O52" s="19"/>
      <c r="P52" s="20"/>
    </row>
    <row r="53" spans="1:16" x14ac:dyDescent="0.25">
      <c r="A53" s="9"/>
      <c r="B53" s="35" t="s">
        <v>24</v>
      </c>
      <c r="C53" s="22">
        <v>250</v>
      </c>
      <c r="D53" s="23">
        <f>(C53*P53)/100</f>
        <v>325.82500000000005</v>
      </c>
      <c r="E53" s="22"/>
      <c r="F53" s="24">
        <f>(E53*P53)/100</f>
        <v>0</v>
      </c>
      <c r="G53" s="25">
        <f>C53-E53</f>
        <v>250</v>
      </c>
      <c r="H53" s="25">
        <f t="shared" ref="H53:H55" si="62">(G53*P53)/100</f>
        <v>325.82500000000005</v>
      </c>
      <c r="I53" s="38">
        <f t="shared" ref="I53:I55" si="63">IF(41.2&gt;P53,41.2-P53)/100*C53</f>
        <v>0</v>
      </c>
      <c r="J53" s="25">
        <f t="shared" ref="J53:J55" si="64">E53*1.49/100</f>
        <v>0</v>
      </c>
      <c r="K53" s="25">
        <f t="shared" ref="K53:K54" si="65">C53*1.76/100</f>
        <v>4.4000000000000004</v>
      </c>
      <c r="L53" s="26"/>
      <c r="N53" s="36"/>
      <c r="O53" s="27" t="s">
        <v>14</v>
      </c>
      <c r="P53" s="28">
        <v>130.33000000000001</v>
      </c>
    </row>
    <row r="54" spans="1:16" x14ac:dyDescent="0.25">
      <c r="A54" s="9"/>
      <c r="B54" s="35" t="s">
        <v>24</v>
      </c>
      <c r="C54" s="22">
        <v>190</v>
      </c>
      <c r="D54" s="23">
        <f t="shared" ref="D54:D56" si="66">(C54*P54)/100</f>
        <v>62.225000000000001</v>
      </c>
      <c r="E54" s="22"/>
      <c r="F54" s="24">
        <f>(E54*P54)/100</f>
        <v>0</v>
      </c>
      <c r="G54" s="25">
        <f>C54-E54</f>
        <v>190</v>
      </c>
      <c r="H54" s="25">
        <f t="shared" si="62"/>
        <v>62.225000000000001</v>
      </c>
      <c r="I54" s="38">
        <f t="shared" si="63"/>
        <v>16.055000000000007</v>
      </c>
      <c r="J54" s="25">
        <f t="shared" si="64"/>
        <v>0</v>
      </c>
      <c r="K54" s="25">
        <f t="shared" si="65"/>
        <v>3.3439999999999999</v>
      </c>
      <c r="L54" s="26"/>
      <c r="N54" s="36"/>
      <c r="O54" s="27"/>
      <c r="P54" s="28">
        <v>32.75</v>
      </c>
    </row>
    <row r="55" spans="1:16" x14ac:dyDescent="0.25">
      <c r="A55" s="9"/>
      <c r="B55" s="35" t="s">
        <v>26</v>
      </c>
      <c r="C55" s="22">
        <v>29720</v>
      </c>
      <c r="D55" s="23">
        <f t="shared" si="66"/>
        <v>10259.344000000001</v>
      </c>
      <c r="E55" s="22"/>
      <c r="F55" s="24">
        <f t="shared" ref="F55" si="67">(E55*P55)/100</f>
        <v>0</v>
      </c>
      <c r="G55" s="25">
        <f t="shared" ref="G55" si="68">C55-E55</f>
        <v>29720</v>
      </c>
      <c r="H55" s="25">
        <f t="shared" si="62"/>
        <v>10259.344000000001</v>
      </c>
      <c r="I55" s="38">
        <f t="shared" si="63"/>
        <v>1985.296</v>
      </c>
      <c r="J55" s="25">
        <f t="shared" si="64"/>
        <v>0</v>
      </c>
      <c r="K55" s="25">
        <f>C55*1.76/100</f>
        <v>523.072</v>
      </c>
      <c r="L55" s="26"/>
      <c r="N55" s="36"/>
      <c r="O55" s="27" t="s">
        <v>15</v>
      </c>
      <c r="P55" s="28">
        <v>34.520000000000003</v>
      </c>
    </row>
    <row r="56" spans="1:16" x14ac:dyDescent="0.25">
      <c r="A56" s="9"/>
      <c r="B56" s="35" t="s">
        <v>26</v>
      </c>
      <c r="C56" s="22">
        <v>45800</v>
      </c>
      <c r="D56" s="23">
        <f t="shared" si="66"/>
        <v>13149.18</v>
      </c>
      <c r="E56" s="41">
        <v>3610</v>
      </c>
      <c r="F56" s="24">
        <f>(E56*P56)/100</f>
        <v>1036.431</v>
      </c>
      <c r="G56" s="25">
        <f>C56-E56</f>
        <v>42190</v>
      </c>
      <c r="H56" s="25">
        <f>(G56*P56)/100</f>
        <v>12112.749000000002</v>
      </c>
      <c r="I56" s="39">
        <f>IF(41.2&gt;P56,41.2-P56)/100*C56</f>
        <v>5720.420000000001</v>
      </c>
      <c r="J56" s="25">
        <f>E56*1.49/100</f>
        <v>53.788999999999994</v>
      </c>
      <c r="K56" s="25">
        <f>C56*1.76/100</f>
        <v>806.08</v>
      </c>
      <c r="L56" s="26"/>
      <c r="N56" s="36"/>
      <c r="O56" s="27"/>
      <c r="P56" s="28">
        <v>28.71</v>
      </c>
    </row>
    <row r="57" spans="1:16" x14ac:dyDescent="0.25">
      <c r="A57" s="37"/>
      <c r="B57" s="35"/>
      <c r="C57" s="22"/>
      <c r="D57" s="23"/>
      <c r="E57" s="22"/>
      <c r="F57" s="24"/>
      <c r="G57" s="25"/>
      <c r="H57" s="25"/>
      <c r="I57" s="39"/>
      <c r="J57" s="25"/>
      <c r="K57" s="25"/>
      <c r="L57" s="26"/>
      <c r="N57" s="36"/>
      <c r="O57" s="32"/>
      <c r="P57" s="28"/>
    </row>
    <row r="58" spans="1:16" ht="14.4" x14ac:dyDescent="0.3">
      <c r="A58" s="57" t="s">
        <v>31</v>
      </c>
      <c r="B58" s="58" t="s">
        <v>21</v>
      </c>
      <c r="C58" s="42"/>
      <c r="D58" s="43"/>
      <c r="E58" s="42"/>
      <c r="F58" s="44"/>
      <c r="G58" s="42"/>
      <c r="H58" s="45"/>
      <c r="I58" s="45"/>
      <c r="J58" s="45"/>
      <c r="K58" s="45"/>
      <c r="L58" s="43"/>
      <c r="M58" s="46"/>
      <c r="N58" s="47" t="s">
        <v>22</v>
      </c>
      <c r="O58" s="48"/>
      <c r="P58" s="49"/>
    </row>
    <row r="59" spans="1:16" x14ac:dyDescent="0.25">
      <c r="A59" s="57"/>
      <c r="B59" s="59" t="s">
        <v>24</v>
      </c>
      <c r="C59" s="50"/>
      <c r="D59" s="51"/>
      <c r="E59" s="50"/>
      <c r="F59" s="52"/>
      <c r="G59" s="50"/>
      <c r="H59" s="50"/>
      <c r="I59" s="53"/>
      <c r="J59" s="50"/>
      <c r="K59" s="50"/>
      <c r="L59" s="54"/>
      <c r="M59" s="46"/>
      <c r="N59" s="55"/>
      <c r="O59" s="56" t="s">
        <v>14</v>
      </c>
      <c r="P59" s="46"/>
    </row>
    <row r="60" spans="1:16" x14ac:dyDescent="0.25">
      <c r="A60" s="57"/>
      <c r="B60" s="59" t="s">
        <v>24</v>
      </c>
      <c r="C60" s="50"/>
      <c r="D60" s="51"/>
      <c r="E60" s="50"/>
      <c r="F60" s="52"/>
      <c r="G60" s="50"/>
      <c r="H60" s="50"/>
      <c r="I60" s="53"/>
      <c r="J60" s="50"/>
      <c r="K60" s="50"/>
      <c r="L60" s="54"/>
      <c r="M60" s="46"/>
      <c r="N60" s="55"/>
      <c r="O60" s="56"/>
      <c r="P60" s="46"/>
    </row>
    <row r="61" spans="1:16" x14ac:dyDescent="0.25">
      <c r="A61" s="57"/>
      <c r="B61" s="59" t="s">
        <v>26</v>
      </c>
      <c r="C61" s="50"/>
      <c r="D61" s="51"/>
      <c r="E61" s="50"/>
      <c r="F61" s="52"/>
      <c r="G61" s="50"/>
      <c r="H61" s="50"/>
      <c r="I61" s="53"/>
      <c r="J61" s="50"/>
      <c r="K61" s="50"/>
      <c r="L61" s="54"/>
      <c r="M61" s="46"/>
      <c r="N61" s="55"/>
      <c r="O61" s="56" t="s">
        <v>15</v>
      </c>
      <c r="P61" s="46"/>
    </row>
    <row r="62" spans="1:16" x14ac:dyDescent="0.25">
      <c r="A62" s="57"/>
      <c r="B62" s="59" t="s">
        <v>26</v>
      </c>
      <c r="C62" s="50"/>
      <c r="D62" s="51"/>
      <c r="E62" s="50"/>
      <c r="F62" s="52"/>
      <c r="G62" s="50"/>
      <c r="H62" s="50"/>
      <c r="I62" s="53"/>
      <c r="J62" s="50"/>
      <c r="K62" s="50"/>
      <c r="L62" s="54"/>
      <c r="M62" s="46"/>
      <c r="N62" s="55"/>
      <c r="O62" s="56"/>
      <c r="P62" s="46"/>
    </row>
    <row r="74" spans="2:2" x14ac:dyDescent="0.25">
      <c r="B74" s="1" t="s">
        <v>21</v>
      </c>
    </row>
  </sheetData>
  <mergeCells count="35">
    <mergeCell ref="A52:A56"/>
    <mergeCell ref="O53:O54"/>
    <mergeCell ref="O55:O56"/>
    <mergeCell ref="A58:A62"/>
    <mergeCell ref="O59:O60"/>
    <mergeCell ref="O61:O62"/>
    <mergeCell ref="A40:A44"/>
    <mergeCell ref="O41:O42"/>
    <mergeCell ref="O43:O44"/>
    <mergeCell ref="A46:A50"/>
    <mergeCell ref="O47:O48"/>
    <mergeCell ref="O49:O50"/>
    <mergeCell ref="A24:A26"/>
    <mergeCell ref="A28:A32"/>
    <mergeCell ref="O29:O30"/>
    <mergeCell ref="O31:O32"/>
    <mergeCell ref="A34:A38"/>
    <mergeCell ref="O35:O36"/>
    <mergeCell ref="O37:O38"/>
    <mergeCell ref="A12:A16"/>
    <mergeCell ref="B13:B14"/>
    <mergeCell ref="O13:O14"/>
    <mergeCell ref="B15:B16"/>
    <mergeCell ref="O15:O16"/>
    <mergeCell ref="A18:A22"/>
    <mergeCell ref="B19:B20"/>
    <mergeCell ref="O19:O20"/>
    <mergeCell ref="B21:B22"/>
    <mergeCell ref="O21:O22"/>
    <mergeCell ref="O3:P3"/>
    <mergeCell ref="A6:A10"/>
    <mergeCell ref="B7:B8"/>
    <mergeCell ref="O7:O8"/>
    <mergeCell ref="B9:B10"/>
    <mergeCell ref="O9:O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7F8236FB391CC498CEA2609AB972B58" ma:contentTypeVersion="15" ma:contentTypeDescription="צור מסמך חדש." ma:contentTypeScope="" ma:versionID="469000c5b59ac05e626fa473a9c1893b">
  <xsd:schema xmlns:xsd="http://www.w3.org/2001/XMLSchema" xmlns:xs="http://www.w3.org/2001/XMLSchema" xmlns:p="http://schemas.microsoft.com/office/2006/metadata/properties" xmlns:ns2="15415fbf-5521-437f-9efd-f1775157a23f" xmlns:ns3="3281f66d-2bb0-4d75-b53a-3737fa981732" targetNamespace="http://schemas.microsoft.com/office/2006/metadata/properties" ma:root="true" ma:fieldsID="e61aa6996104ebcacbd29e1d6868bec0" ns2:_="" ns3:_="">
    <xsd:import namespace="15415fbf-5521-437f-9efd-f1775157a23f"/>
    <xsd:import namespace="3281f66d-2bb0-4d75-b53a-3737fa9817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15fbf-5521-437f-9efd-f1775157a23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תגיות תמונה" ma:readOnly="false" ma:fieldId="{5cf76f15-5ced-4ddc-b409-7134ff3c332f}" ma:taxonomyMulti="true" ma:sspId="58cd9208-3b59-4a84-9139-bac9c8d440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1f66d-2bb0-4d75-b53a-3737fa9817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f2353d3-7c39-4fda-bc19-a620c92c930d}" ma:internalName="TaxCatchAll" ma:showField="CatchAllData" ma:web="3281f66d-2bb0-4d75-b53a-3737fa98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15fbf-5521-437f-9efd-f1775157a23f">
      <Terms xmlns="http://schemas.microsoft.com/office/infopath/2007/PartnerControls"/>
    </lcf76f155ced4ddcb4097134ff3c332f>
    <TaxCatchAll xmlns="3281f66d-2bb0-4d75-b53a-3737fa981732" xsi:nil="true"/>
  </documentManagement>
</p:properties>
</file>

<file path=customXml/itemProps1.xml><?xml version="1.0" encoding="utf-8"?>
<ds:datastoreItem xmlns:ds="http://schemas.openxmlformats.org/officeDocument/2006/customXml" ds:itemID="{79747B40-5EFD-495C-95A5-0B6A7E2B1133}"/>
</file>

<file path=customXml/itemProps2.xml><?xml version="1.0" encoding="utf-8"?>
<ds:datastoreItem xmlns:ds="http://schemas.openxmlformats.org/officeDocument/2006/customXml" ds:itemID="{621A76AE-6620-4A49-8885-6AD6F8A3D83D}"/>
</file>

<file path=customXml/itemProps3.xml><?xml version="1.0" encoding="utf-8"?>
<ds:datastoreItem xmlns:ds="http://schemas.openxmlformats.org/officeDocument/2006/customXml" ds:itemID="{5A7A5281-BD1B-4E56-9E1C-45B71C1801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סיכום סולארי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Gur</dc:creator>
  <cp:lastModifiedBy>Alexandra Gur</cp:lastModifiedBy>
  <dcterms:created xsi:type="dcterms:W3CDTF">2026-04-13T09:42:06Z</dcterms:created>
  <dcterms:modified xsi:type="dcterms:W3CDTF">2026-04-13T09:56:22Z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0x01010017F8236FB391CC498CEA2609AB972B58</vt:lpwstr>
  </property>
</Properties>
</file>